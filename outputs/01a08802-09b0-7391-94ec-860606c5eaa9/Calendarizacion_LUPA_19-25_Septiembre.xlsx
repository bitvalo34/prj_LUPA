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erwin\PRJIMA\outputs\01a08802-09b0-7391-94ec-860606c5eaa9\"/>
    </mc:Choice>
  </mc:AlternateContent>
  <xr:revisionPtr revIDLastSave="0" documentId="13_ncr:1_{F428F869-94D8-4270-8D64-C7EB0FFF28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mana LU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G5" i="1"/>
  <c r="D5" i="1"/>
  <c r="B5" i="1"/>
</calcChain>
</file>

<file path=xl/sharedStrings.xml><?xml version="1.0" encoding="utf-8"?>
<sst xmlns="http://schemas.openxmlformats.org/spreadsheetml/2006/main" count="156" uniqueCount="117">
  <si>
    <t>Calendarización LUPA del 19 al 25 de septiembre de 2026</t>
  </si>
  <si>
    <t>Base al 13/09: diseño y protocolo documentados. Sin código funcional en la copia local ni en las ramas main y master de GitHub.</t>
  </si>
  <si>
    <t>Plan intensivo: 7 h disponibles por persona/día. Se programan 5–6 h y se reserva el resto para correcciones. Horas de Ambos contadas por persona.</t>
  </si>
  <si>
    <t>Erwin (h)</t>
  </si>
  <si>
    <t>Adrian (h)</t>
  </si>
  <si>
    <t>Bloques terminados de 22</t>
  </si>
  <si>
    <t>Fecha de cierre</t>
  </si>
  <si>
    <t>Orden: S19 al iniciar. Erwin y Adrian trabajan en paralelo. I19–I25 son integraciones conjuntas al cierre. Dependencia usa el código de cada bloque.</t>
  </si>
  <si>
    <t>Si I20 falla, usar el margen del 21 y simplificar estética. Mantener requisitos. Evaluación: Backend 35 %, Frontend 30 %, Documento del protocolo 35 %.</t>
  </si>
  <si>
    <t>Fecha</t>
  </si>
  <si>
    <t>Día</t>
  </si>
  <si>
    <t>Responsable</t>
  </si>
  <si>
    <t>Área / Módulo</t>
  </si>
  <si>
    <t>Horas</t>
  </si>
  <si>
    <t>Tarea</t>
  </si>
  <si>
    <t>Resultado esperado</t>
  </si>
  <si>
    <t>Dependencia</t>
  </si>
  <si>
    <t>Estado</t>
  </si>
  <si>
    <t>Ambos</t>
  </si>
  <si>
    <t>Coordinación y contrato</t>
  </si>
  <si>
    <t>S19  Reusar Avances_LUPA, comprobar cambios desde el 13/09 y fijar rama común, interfaces y muestras. Confirmar vía y fecha de evaluación.</t>
  </si>
  <si>
    <t>Contrato v1 y reparto acordados. Se conserva el diseño existente. Fecha de demostración y requisitos del GES confirmados.</t>
  </si>
  <si>
    <t>Sin dependencia
Al iniciar</t>
  </si>
  <si>
    <t>Pendiente</t>
  </si>
  <si>
    <t>Erwin Arevalo</t>
  </si>
  <si>
    <t>Base Java y HTTP</t>
  </si>
  <si>
    <t>E19  Crear Maven con Java 21 y NIO.2. Implementar HTTP inicial, rutas locales y pruebas básicas. Fijar y descargar dependencias para uso offline.</t>
  </si>
  <si>
    <t>Servidor arranca y sirve recursos desde Java. GET/HEAD y rutas inválidas probados. Proyecto y dependencias reproducibles.</t>
  </si>
  <si>
    <t>S19
En paralelo con A19</t>
  </si>
  <si>
    <t>Adrian Romero</t>
  </si>
  <si>
    <t>Importador y almacenamiento</t>
  </si>
  <si>
    <t>A19  Implementar importador Java con libvips local, teselas 256, niveles y manifiesto. Preparar muestra pequeña y muestra grande manejable con licencia.</t>
  </si>
  <si>
    <t>Pirámide validada en disco, catálogo y versión publicados al terminar. Original privado. Herramienta local y datos disponibles offline.</t>
  </si>
  <si>
    <t>S19
En paralelo con E19</t>
  </si>
  <si>
    <t>Integración de base</t>
  </si>
  <si>
    <t>I19  Integrar servidor y catálogo del importador. Revisar un cambio del compañero y registrar comandos reales de ejecución.</t>
  </si>
  <si>
    <t>HTTP entrega catálogo local. Estructura del manifiesto compatible. Primera sección de instalación y decisiones registrada.</t>
  </si>
  <si>
    <t>E19, A19
Cierre del día</t>
  </si>
  <si>
    <t>Transporte y flujo LUPA</t>
  </si>
  <si>
    <t>E20  Implementar WebSocket y recorrido HELLO/OPEN/VIEW/PLAN/TILE/RELEASE/DONE. Conectar lectura de teselas y probar encuadre y escrituras parciales.</t>
  </si>
  <si>
    <t>Sesión real recibe una región, envía miniatura y teselas binarias, y acepta RELEASE. Pruebas de apertura, máscara y fragmentación.</t>
  </si>
  <si>
    <t>I19
En paralelo con A20</t>
  </si>
  <si>
    <t>Visor y cliente LUPA</t>
  </si>
  <si>
    <t>A20  Implementar catálogo y selección, conexión LUPA, Worker, decodificación y composición en Canvas. Probar primero con mensajes de muestra del contrato.</t>
  </si>
  <si>
    <t>Navegador interpreta MANIFEST y TILE y dibuja piezas progresivamente. Recursos web locales. Traza y captura inicial guardadas.</t>
  </si>
  <si>
    <t>I19
Muestras primero; integración con E20 al cierre</t>
  </si>
  <si>
    <t>Primer recorrido completo</t>
  </si>
  <si>
    <t>I20  Unir HTTP, WebSocket, protocolo y visor con imagen importada. Revisar tráfico y corregir incompatibilidades. Registrar mensajes observados.</t>
  </si>
  <si>
    <t>Primera imagen explorada mediante teselas reales. Ninguna descarga del original ni solicitud externa. Prueba vertical aprobada.</t>
  </si>
  <si>
    <t>E20, A20
Cierre del día</t>
  </si>
  <si>
    <t>Estado y control LUPA</t>
  </si>
  <si>
    <t>E21  Completar estados, región y nivel, detailOffset, PLAN y foco. Implementar épocas, cancelación y créditos por deliveryId, con validación y errores.</t>
  </si>
  <si>
    <t>VIEW sustituye el plan. RELEASE duplicado no crea crédito. Cambiar de época conserva la ventana. Mensajes inválidos no alteran la sesión.</t>
  </si>
  <si>
    <t>I20
En paralelo con A21</t>
  </si>
  <si>
    <t>Navegación y memoria</t>
  </si>
  <si>
    <t>A21  Añadir desplazamiento, detalle uniforme y lente con foco fijo. Implementar caché acotada, transferencia al Worker, descarte por época y cierre de bitmaps.</t>
  </si>
  <si>
    <t>Al acercar llegan datos nuevos; al alejar se retira detalle. Época comprobada antes y después de decodificar. Límites de caché y Canvas aplicados.</t>
  </si>
  <si>
    <t>I20
En paralelo con E21</t>
  </si>
  <si>
    <t>Integración del control</t>
  </si>
  <si>
    <t>I21  Probar vistas y resoluciones distintas en dos navegadores, cambios rápidos y reducción de detalle. Anotar comportamiento real del protocolo.</t>
  </si>
  <si>
    <t>Sin contaminación entre clientes ni teselas viejas dibujadas. Foco, PLAN, créditos y liberación coherentes. Casos de prueba registrados.</t>
  </si>
  <si>
    <t>E21, A21
Cierre del día</t>
  </si>
  <si>
    <t>Concurrencia y recursos</t>
  </si>
  <si>
    <t>E22  Acotar colas, caché comprimida y sesiones. Separar disco de callbacks, aplicar turnos y timeouts. Completar controles de rutas y reconexión.</t>
  </si>
  <si>
    <t>Un cliente lento no bloquea a otro. Memoria administrada acotada. Originales inaccesibles. Sesión inmóvil válida y nueva conexión correctas.</t>
  </si>
  <si>
    <t>I21
En paralelo con A22</t>
  </si>
  <si>
    <t>Ingreso y revisión funcional</t>
  </si>
  <si>
    <t>A22  Validar segunda imagen sin reiniciar, versiones y fallo de importación. Completar errores/reconexión del visor, contadores y borrador de uso y memoria.</t>
  </si>
  <si>
    <t>Catálogo anterior sobrevive al fallo. Imagen nueva utilizable. Errores comprensibles. Instrucciones, pruebas y evidencia del frontend redactadas.</t>
  </si>
  <si>
    <t>I21, A19
En paralelo con E22</t>
  </si>
  <si>
    <t>Prueba offline temprana</t>
  </si>
  <si>
    <t>I22  Desconectar internet y recorrer selección, navegación e importación. Revisar implementación del compañero y actualizar diagrama y contrato.</t>
  </si>
  <si>
    <t>Cero peticiones externas. Herramientas y dependencias locales verificadas. Diferencias entre diseño e implementación identificadas y corregibles.</t>
  </si>
  <si>
    <t>E22, A22
Cierre del día</t>
  </si>
  <si>
    <t>Pruebas backend y medición</t>
  </si>
  <si>
    <t>E23  Ejecutar errores de HTTP/WS/LUPA, desconexión, ACK duplicado y saturación. Preparar cliente de carga, registros y comparación sin cancelación.</t>
  </si>
  <si>
    <t>Pruebas automatizadas repetibles. Tiempos, bytes y recursos registrables. Escenarios de 1, 5 y 20 clientes preparados. Fallos prioritarios corregidos.</t>
  </si>
  <si>
    <t>I22
En paralelo con A23</t>
  </si>
  <si>
    <t>Aceptación del visor</t>
  </si>
  <si>
    <t>A23  Ejecutar 100 cambios de vista y 100 ciclos de detalle, foco, memoria, cambio de imagen y errores. Revisar límites de importación y capturar evidencia.</t>
  </si>
  <si>
    <t>Ninguna tesela obsoleta visible. Caché y recursos dentro de límites. Capturas y resultados reales integrados al borrador. Correcciones funcionales.</t>
  </si>
  <si>
    <t>I22
En paralelo con E23</t>
  </si>
  <si>
    <t>Versión funcional integrada</t>
  </si>
  <si>
    <t>I23  Repetir flujo completo y cliente lento/activo. Revisar avance del documento frente al código y cerrar nuevas funciones para concentrarse en correcciones.</t>
  </si>
  <si>
    <t>Funciones comprometidas integradas. Documento ya cubre mensajes, estados y arquitectura. Lista corta de defectos para el 24.</t>
  </si>
  <si>
    <t>E23, A23
Cierre del día</t>
  </si>
  <si>
    <t>Rendimiento y correcciones</t>
  </si>
  <si>
    <t>E24  Medir 1/5/20 clientes con cinco repeticiones, caché fría/caliente y comparación sin cancelación. Corregir fallos y aportar resultados backend al informe.</t>
  </si>
  <si>
    <t>Mediana y p95, bytes, descartes y memoria reales con equipo y muestra identificados. Límites calibrados. Causas de metas incumplidas documentadas.</t>
  </si>
  <si>
    <t>I23, E23
En paralelo con A24</t>
  </si>
  <si>
    <t>Documento y evidencia</t>
  </si>
  <si>
    <t>A24  Consolidar protocolo implementado, estados, recursos, diagramas, capturas, pruebas y referencias RFC. Corregir visor y preparar guion de defensa.</t>
  </si>
  <si>
    <t>Borrador casi final coherente con el código. Metas diferenciadas de resultados. Evidencia de frontend, importación y liberación ordenada.</t>
  </si>
  <si>
    <t>I23, A23
Iniciar con evidencia existente; incorporar E24 al cierre</t>
  </si>
  <si>
    <t>Aceptación completa</t>
  </si>
  <si>
    <t>I24  Ejecutar aceptación offline con segunda importación, clientes concurrentes, errores y recursos. Integrar mediciones y revisar cobertura 35/30/35.</t>
  </si>
  <si>
    <t>Versión candidata sin defectos críticos. Documento y pruebas respaldan backend, frontend y protocolo. Solo ajustes finales para el 25.</t>
  </si>
  <si>
    <t>E24, A24
Después de ambos bloques</t>
  </si>
  <si>
    <t>Paquete y ejecución</t>
  </si>
  <si>
    <t>E25  Corregir regresiones finales. Compilar desde copia limpia sin internet usando dependencias preparadas. Empaquetar código, ejecutable, datos y herramientas.</t>
  </si>
  <si>
    <t>Compilación y ejecución reproducibles. Sin descargas en arranque. Paquete incluye dependencias/plugins, licencias y comandos probados.</t>
  </si>
  <si>
    <t>I24
En paralelo con A25</t>
  </si>
  <si>
    <t>Cierre documental</t>
  </si>
  <si>
    <t>A25  Cerrar informe con resultados finales y limitaciones verificadas. Revisar instrucciones de instalación, operación y demostración, y preparar archivos para GES.</t>
  </si>
  <si>
    <t>Documento del protocolo completo y consistente. Evidencias, referencias y guía de uso listas. Ninguna funcionalidad pendiente presentada como terminada.</t>
  </si>
  <si>
    <t>I24
En paralelo con E25</t>
  </si>
  <si>
    <t>Ensayo y entrega</t>
  </si>
  <si>
    <t>I25  Probar el paquete en entorno limpio offline y ensayar con dos clientes, cambio de detalle e imagen nueva. Revisar informe, cargar al GES y comprobar recepción.</t>
  </si>
  <si>
    <t>Paquete validado e informe final entregado. Ambos explican decisiones y resultados. Demostración virtual/presencial confirmada; subir al GES no basta.</t>
  </si>
  <si>
    <t>E25, A25
Cierre del 25; corregir con el margen reservado</t>
  </si>
  <si>
    <t>Fuentes y punto de partida revisados el 13 de septiembre de 2026</t>
  </si>
  <si>
    <t>Proyecto_Servidor_Asi_ncrono.pdf, pp. 1–4: requisitos y evaluación. Se omite únicamente la modalidad individual por indicación del equipo.</t>
  </si>
  <si>
    <t>Avances_LUPA.docx, secciones 1 y 3–11: diseño definido; servidor, visor, importador y mediciones pendientes. Se reutilizan arquitectura y contrato.</t>
  </si>
  <si>
    <t>GitHub https://github.com/bitvalo34/prj_LUPA: main e946e1e contiene README; master 818cc2b contiene Avances_LUPA.docx. No hay implementación.</t>
  </si>
  <si>
    <t>Copia local: HEAD 818cc2b y sin cambios previos. Este calendario no supone terminadas funcionalidades sin código o evidencia de prueba.</t>
  </si>
  <si>
    <t>Las horas son estimaciones: 41 h de trabajo y 8 h de margen por persona. Si cambia la disponibilidad o el estado inicial, ajustar el calendario el día 19.</t>
  </si>
  <si>
    <t>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</si>
</sst>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7">
    <font>
      <sz val="11"/>
      <name val="Carlito"/>
    </font>
    <font>
      <sz val="10"/>
      <color rgb="FF20262D"/>
      <name val="Arial"/>
      <family val="2"/>
    </font>
    <font>
      <b/>
      <sz val="15"/>
      <color rgb="FF20262D"/>
      <name val="Arial"/>
      <family val="2"/>
    </font>
    <font>
      <sz val="10"/>
      <color rgb="FF53606C"/>
      <name val="Arial"/>
      <family val="2"/>
    </font>
    <font>
      <b/>
      <sz val="10"/>
      <color rgb="FF20262D"/>
      <name val="Arial"/>
      <family val="2"/>
    </font>
    <font>
      <sz val="10"/>
      <color rgb="FF8B5316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4475A"/>
      </patternFill>
    </fill>
    <fill>
      <patternFill patternType="solid">
        <fgColor rgb="FFFFFFFF"/>
      </patternFill>
    </fill>
    <fill>
      <patternFill patternType="solid">
        <fgColor rgb="FFEDE9F4"/>
      </patternFill>
    </fill>
    <fill>
      <patternFill patternType="solid">
        <fgColor rgb="FFF1EFF6"/>
      </patternFill>
    </fill>
    <fill>
      <patternFill patternType="solid">
        <fgColor rgb="FFF8F7FA"/>
      </patternFill>
    </fill>
    <fill>
      <patternFill patternType="solid">
        <fgColor rgb="FFE6EEF9"/>
      </patternFill>
    </fill>
    <fill>
      <patternFill patternType="solid">
        <fgColor rgb="FFE7F1E8"/>
      </patternFill>
    </fill>
    <fill>
      <patternFill patternType="solid">
        <fgColor rgb="FFFBF1DA"/>
      </patternFill>
    </fill>
    <fill>
      <patternFill patternType="solid">
        <fgColor rgb="FFF6E2BE"/>
      </patternFill>
    </fill>
    <fill>
      <patternFill patternType="solid">
        <fgColor rgb="FFFFF8E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8698AA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165" fontId="1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164" fontId="1" fillId="9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164" fontId="1" fillId="9" borderId="4" xfId="0" applyNumberFormat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164" fontId="1" fillId="10" borderId="0" xfId="0" applyNumberFormat="1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164" fontId="1" fillId="10" borderId="4" xfId="0" applyNumberFormat="1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9C3027"/>
      </font>
      <fill>
        <patternFill patternType="solid">
          <bgColor rgb="FFFCE4D6"/>
        </patternFill>
      </fill>
    </dxf>
    <dxf>
      <font>
        <color rgb="FF24476B"/>
      </font>
      <fill>
        <patternFill patternType="solid">
          <bgColor rgb="FFDDEBF7"/>
        </patternFill>
      </fill>
    </dxf>
    <dxf>
      <font>
        <color rgb="FF24552A"/>
      </font>
      <fill>
        <patternFill patternType="solid"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ioLUPA" displayName="CalendarioLUPA" ref="A8:I30" totalsRowShown="0">
  <autoFilter ref="A8:I30" xr:uid="{00000000-0009-0000-0100-000001000000}"/>
  <tableColumns count="9">
    <tableColumn id="1" xr3:uid="{00000000-0010-0000-0000-000001000000}" name="Fecha"/>
    <tableColumn id="2" xr3:uid="{00000000-0010-0000-0000-000002000000}" name="Día"/>
    <tableColumn id="3" xr3:uid="{00000000-0010-0000-0000-000003000000}" name="Responsable"/>
    <tableColumn id="4" xr3:uid="{00000000-0010-0000-0000-000004000000}" name="Área / Módulo"/>
    <tableColumn id="5" xr3:uid="{00000000-0010-0000-0000-000005000000}" name="Horas"/>
    <tableColumn id="6" xr3:uid="{00000000-0010-0000-0000-000006000000}" name="Tarea"/>
    <tableColumn id="7" xr3:uid="{00000000-0010-0000-0000-000007000000}" name="Resultado esperado"/>
    <tableColumn id="8" xr3:uid="{00000000-0010-0000-0000-000008000000}" name="Dependencia"/>
    <tableColumn id="9" xr3:uid="{00000000-0010-0000-0000-000009000000}" name="Est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475A"/>
  </sheetPr>
  <dimension ref="A1:I37"/>
  <sheetViews>
    <sheetView showGridLines="0" tabSelected="1" workbookViewId="0">
      <pane xSplit="3" ySplit="8" topLeftCell="E9" activePane="bottomRight" state="frozen"/>
      <selection pane="topRight"/>
      <selection pane="bottomLeft"/>
      <selection pane="bottomRight" activeCell="F8" sqref="F8"/>
    </sheetView>
  </sheetViews>
  <sheetFormatPr defaultRowHeight="13.8"/>
  <cols>
    <col min="1" max="1" width="10.5" customWidth="1"/>
    <col min="2" max="2" width="10" customWidth="1"/>
    <col min="3" max="3" width="17.69921875" customWidth="1"/>
    <col min="4" max="4" width="17.8984375" customWidth="1"/>
    <col min="5" max="5" width="7.69921875" customWidth="1"/>
    <col min="6" max="6" width="45.59765625" customWidth="1"/>
    <col min="7" max="7" width="47.5" customWidth="1"/>
    <col min="8" max="8" width="22.19921875" customWidth="1"/>
    <col min="9" max="9" width="13.09765625" customWidth="1"/>
  </cols>
  <sheetData>
    <row r="1" spans="1:9" ht="7.95" customHeight="1">
      <c r="A1" s="1"/>
      <c r="B1" s="1"/>
      <c r="C1" s="1"/>
      <c r="D1" s="1"/>
      <c r="E1" s="1"/>
      <c r="F1" s="1"/>
      <c r="G1" s="1"/>
      <c r="H1" s="1"/>
      <c r="I1" s="1"/>
    </row>
    <row r="2" spans="1:9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 ht="22.95" customHeight="1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9" ht="22.95" customHeight="1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28.05" customHeight="1">
      <c r="A5" s="4" t="s">
        <v>3</v>
      </c>
      <c r="B5" s="14">
        <f>SUMIFS(E9:E30,C9:C30,"Erwin Arevalo")+SUMIFS(E9:E30,C9:C30,"Ambos")</f>
        <v>41</v>
      </c>
      <c r="C5" s="4" t="s">
        <v>4</v>
      </c>
      <c r="D5" s="14">
        <f>SUMIFS(E9:E30,C9:C30,"Adrian Romero")+SUMIFS(E9:E30,C9:C30,"Ambos")</f>
        <v>41</v>
      </c>
      <c r="E5" s="4"/>
      <c r="F5" s="4" t="s">
        <v>5</v>
      </c>
      <c r="G5" s="15">
        <f>COUNTIFS(I9:I30,"Hecho")</f>
        <v>1</v>
      </c>
      <c r="H5" s="4" t="s">
        <v>6</v>
      </c>
      <c r="I5" s="5">
        <v>46290</v>
      </c>
    </row>
    <row r="6" spans="1:9" ht="24" customHeight="1">
      <c r="A6" s="1" t="s">
        <v>7</v>
      </c>
      <c r="B6" s="1"/>
      <c r="C6" s="1"/>
      <c r="D6" s="1"/>
      <c r="E6" s="1"/>
      <c r="F6" s="1"/>
      <c r="G6" s="1"/>
      <c r="H6" s="1"/>
      <c r="I6" s="1"/>
    </row>
    <row r="7" spans="1:9" ht="24" customHeight="1">
      <c r="A7" s="6" t="s">
        <v>8</v>
      </c>
      <c r="B7" s="1"/>
      <c r="C7" s="1"/>
      <c r="D7" s="1"/>
      <c r="E7" s="1"/>
      <c r="F7" s="1"/>
      <c r="G7" s="1"/>
      <c r="H7" s="1"/>
      <c r="I7" s="1"/>
    </row>
    <row r="8" spans="1:9" ht="31.95" customHeight="1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  <c r="I8" s="9" t="s">
        <v>17</v>
      </c>
    </row>
    <row r="9" spans="1:9" ht="61.95" customHeight="1">
      <c r="A9" s="19">
        <v>46284</v>
      </c>
      <c r="B9" s="20" t="str">
        <f t="shared" ref="B9:B30" si="0">CHOOSE(WEEKDAY(A9,2),"Lunes","Martes","Miércoles","Jueves","Viernes","Sábado","Domingo")</f>
        <v>Sábado</v>
      </c>
      <c r="C9" s="21" t="s">
        <v>18</v>
      </c>
      <c r="D9" s="22" t="s">
        <v>19</v>
      </c>
      <c r="E9" s="23">
        <v>0.5</v>
      </c>
      <c r="F9" s="24" t="s">
        <v>20</v>
      </c>
      <c r="G9" s="24" t="s">
        <v>21</v>
      </c>
      <c r="H9" s="24" t="s">
        <v>22</v>
      </c>
      <c r="I9" s="37" t="s">
        <v>116</v>
      </c>
    </row>
    <row r="10" spans="1:9" ht="61.95" customHeight="1">
      <c r="A10" s="10">
        <v>46284</v>
      </c>
      <c r="B10" s="11" t="str">
        <f t="shared" si="0"/>
        <v>Sábado</v>
      </c>
      <c r="C10" s="25" t="s">
        <v>24</v>
      </c>
      <c r="D10" s="12" t="s">
        <v>25</v>
      </c>
      <c r="E10" s="13">
        <v>5</v>
      </c>
      <c r="F10" s="12" t="s">
        <v>26</v>
      </c>
      <c r="G10" s="12" t="s">
        <v>27</v>
      </c>
      <c r="H10" s="12" t="s">
        <v>28</v>
      </c>
      <c r="I10" s="38" t="s">
        <v>23</v>
      </c>
    </row>
    <row r="11" spans="1:9" ht="61.95" customHeight="1">
      <c r="A11" s="10">
        <v>46284</v>
      </c>
      <c r="B11" s="11" t="str">
        <f t="shared" si="0"/>
        <v>Sábado</v>
      </c>
      <c r="C11" s="26" t="s">
        <v>29</v>
      </c>
      <c r="D11" s="12" t="s">
        <v>30</v>
      </c>
      <c r="E11" s="13">
        <v>5</v>
      </c>
      <c r="F11" s="12" t="s">
        <v>31</v>
      </c>
      <c r="G11" s="12" t="s">
        <v>32</v>
      </c>
      <c r="H11" s="12" t="s">
        <v>33</v>
      </c>
      <c r="I11" s="38" t="s">
        <v>23</v>
      </c>
    </row>
    <row r="12" spans="1:9" ht="61.95" customHeight="1">
      <c r="A12" s="10">
        <v>46284</v>
      </c>
      <c r="B12" s="11" t="str">
        <f t="shared" si="0"/>
        <v>Sábado</v>
      </c>
      <c r="C12" s="16" t="s">
        <v>18</v>
      </c>
      <c r="D12" s="17" t="s">
        <v>34</v>
      </c>
      <c r="E12" s="13">
        <v>0.5</v>
      </c>
      <c r="F12" s="18" t="s">
        <v>35</v>
      </c>
      <c r="G12" s="18" t="s">
        <v>36</v>
      </c>
      <c r="H12" s="18" t="s">
        <v>37</v>
      </c>
      <c r="I12" s="38" t="s">
        <v>23</v>
      </c>
    </row>
    <row r="13" spans="1:9" ht="61.95" customHeight="1">
      <c r="A13" s="19">
        <v>46285</v>
      </c>
      <c r="B13" s="20" t="str">
        <f t="shared" si="0"/>
        <v>Domingo</v>
      </c>
      <c r="C13" s="27" t="s">
        <v>24</v>
      </c>
      <c r="D13" s="28" t="s">
        <v>38</v>
      </c>
      <c r="E13" s="23">
        <v>5</v>
      </c>
      <c r="F13" s="28" t="s">
        <v>39</v>
      </c>
      <c r="G13" s="28" t="s">
        <v>40</v>
      </c>
      <c r="H13" s="28" t="s">
        <v>41</v>
      </c>
      <c r="I13" s="37" t="s">
        <v>23</v>
      </c>
    </row>
    <row r="14" spans="1:9" ht="61.95" customHeight="1">
      <c r="A14" s="10">
        <v>46285</v>
      </c>
      <c r="B14" s="11" t="str">
        <f t="shared" si="0"/>
        <v>Domingo</v>
      </c>
      <c r="C14" s="26" t="s">
        <v>29</v>
      </c>
      <c r="D14" s="12" t="s">
        <v>42</v>
      </c>
      <c r="E14" s="13">
        <v>5</v>
      </c>
      <c r="F14" s="12" t="s">
        <v>43</v>
      </c>
      <c r="G14" s="12" t="s">
        <v>44</v>
      </c>
      <c r="H14" s="12" t="s">
        <v>45</v>
      </c>
      <c r="I14" s="38" t="s">
        <v>23</v>
      </c>
    </row>
    <row r="15" spans="1:9" ht="61.95" customHeight="1">
      <c r="A15" s="10">
        <v>46285</v>
      </c>
      <c r="B15" s="11" t="str">
        <f t="shared" si="0"/>
        <v>Domingo</v>
      </c>
      <c r="C15" s="16" t="s">
        <v>18</v>
      </c>
      <c r="D15" s="17" t="s">
        <v>46</v>
      </c>
      <c r="E15" s="13">
        <v>1</v>
      </c>
      <c r="F15" s="18" t="s">
        <v>47</v>
      </c>
      <c r="G15" s="18" t="s">
        <v>48</v>
      </c>
      <c r="H15" s="18" t="s">
        <v>49</v>
      </c>
      <c r="I15" s="38" t="s">
        <v>23</v>
      </c>
    </row>
    <row r="16" spans="1:9" ht="61.95" customHeight="1">
      <c r="A16" s="19">
        <v>46286</v>
      </c>
      <c r="B16" s="20" t="str">
        <f t="shared" si="0"/>
        <v>Lunes</v>
      </c>
      <c r="C16" s="27" t="s">
        <v>24</v>
      </c>
      <c r="D16" s="28" t="s">
        <v>50</v>
      </c>
      <c r="E16" s="23">
        <v>5</v>
      </c>
      <c r="F16" s="28" t="s">
        <v>51</v>
      </c>
      <c r="G16" s="28" t="s">
        <v>52</v>
      </c>
      <c r="H16" s="28" t="s">
        <v>53</v>
      </c>
      <c r="I16" s="37" t="s">
        <v>23</v>
      </c>
    </row>
    <row r="17" spans="1:9" ht="61.95" customHeight="1">
      <c r="A17" s="10">
        <v>46286</v>
      </c>
      <c r="B17" s="11" t="str">
        <f t="shared" si="0"/>
        <v>Lunes</v>
      </c>
      <c r="C17" s="26" t="s">
        <v>29</v>
      </c>
      <c r="D17" s="12" t="s">
        <v>54</v>
      </c>
      <c r="E17" s="13">
        <v>5</v>
      </c>
      <c r="F17" s="12" t="s">
        <v>55</v>
      </c>
      <c r="G17" s="12" t="s">
        <v>56</v>
      </c>
      <c r="H17" s="12" t="s">
        <v>57</v>
      </c>
      <c r="I17" s="38" t="s">
        <v>23</v>
      </c>
    </row>
    <row r="18" spans="1:9" ht="61.95" customHeight="1">
      <c r="A18" s="10">
        <v>46286</v>
      </c>
      <c r="B18" s="11" t="str">
        <f t="shared" si="0"/>
        <v>Lunes</v>
      </c>
      <c r="C18" s="16" t="s">
        <v>18</v>
      </c>
      <c r="D18" s="17" t="s">
        <v>58</v>
      </c>
      <c r="E18" s="13">
        <v>1</v>
      </c>
      <c r="F18" s="18" t="s">
        <v>59</v>
      </c>
      <c r="G18" s="18" t="s">
        <v>60</v>
      </c>
      <c r="H18" s="18" t="s">
        <v>61</v>
      </c>
      <c r="I18" s="38" t="s">
        <v>23</v>
      </c>
    </row>
    <row r="19" spans="1:9" ht="61.95" customHeight="1">
      <c r="A19" s="19">
        <v>46287</v>
      </c>
      <c r="B19" s="20" t="str">
        <f t="shared" si="0"/>
        <v>Martes</v>
      </c>
      <c r="C19" s="27" t="s">
        <v>24</v>
      </c>
      <c r="D19" s="28" t="s">
        <v>62</v>
      </c>
      <c r="E19" s="23">
        <v>5</v>
      </c>
      <c r="F19" s="28" t="s">
        <v>63</v>
      </c>
      <c r="G19" s="28" t="s">
        <v>64</v>
      </c>
      <c r="H19" s="28" t="s">
        <v>65</v>
      </c>
      <c r="I19" s="37" t="s">
        <v>23</v>
      </c>
    </row>
    <row r="20" spans="1:9" ht="61.95" customHeight="1">
      <c r="A20" s="10">
        <v>46287</v>
      </c>
      <c r="B20" s="11" t="str">
        <f t="shared" si="0"/>
        <v>Martes</v>
      </c>
      <c r="C20" s="26" t="s">
        <v>29</v>
      </c>
      <c r="D20" s="12" t="s">
        <v>66</v>
      </c>
      <c r="E20" s="13">
        <v>5</v>
      </c>
      <c r="F20" s="12" t="s">
        <v>67</v>
      </c>
      <c r="G20" s="12" t="s">
        <v>68</v>
      </c>
      <c r="H20" s="12" t="s">
        <v>69</v>
      </c>
      <c r="I20" s="38" t="s">
        <v>23</v>
      </c>
    </row>
    <row r="21" spans="1:9" ht="61.95" customHeight="1">
      <c r="A21" s="10">
        <v>46287</v>
      </c>
      <c r="B21" s="11" t="str">
        <f t="shared" si="0"/>
        <v>Martes</v>
      </c>
      <c r="C21" s="16" t="s">
        <v>18</v>
      </c>
      <c r="D21" s="17" t="s">
        <v>70</v>
      </c>
      <c r="E21" s="13">
        <v>1</v>
      </c>
      <c r="F21" s="18" t="s">
        <v>71</v>
      </c>
      <c r="G21" s="18" t="s">
        <v>72</v>
      </c>
      <c r="H21" s="18" t="s">
        <v>73</v>
      </c>
      <c r="I21" s="38" t="s">
        <v>23</v>
      </c>
    </row>
    <row r="22" spans="1:9" ht="61.95" customHeight="1">
      <c r="A22" s="19">
        <v>46288</v>
      </c>
      <c r="B22" s="20" t="str">
        <f t="shared" si="0"/>
        <v>Miércoles</v>
      </c>
      <c r="C22" s="27" t="s">
        <v>24</v>
      </c>
      <c r="D22" s="28" t="s">
        <v>74</v>
      </c>
      <c r="E22" s="23">
        <v>5</v>
      </c>
      <c r="F22" s="28" t="s">
        <v>75</v>
      </c>
      <c r="G22" s="28" t="s">
        <v>76</v>
      </c>
      <c r="H22" s="28" t="s">
        <v>77</v>
      </c>
      <c r="I22" s="37" t="s">
        <v>23</v>
      </c>
    </row>
    <row r="23" spans="1:9" ht="61.95" customHeight="1">
      <c r="A23" s="10">
        <v>46288</v>
      </c>
      <c r="B23" s="11" t="str">
        <f t="shared" si="0"/>
        <v>Miércoles</v>
      </c>
      <c r="C23" s="26" t="s">
        <v>29</v>
      </c>
      <c r="D23" s="12" t="s">
        <v>78</v>
      </c>
      <c r="E23" s="13">
        <v>5</v>
      </c>
      <c r="F23" s="12" t="s">
        <v>79</v>
      </c>
      <c r="G23" s="12" t="s">
        <v>80</v>
      </c>
      <c r="H23" s="12" t="s">
        <v>81</v>
      </c>
      <c r="I23" s="38" t="s">
        <v>23</v>
      </c>
    </row>
    <row r="24" spans="1:9" ht="61.95" customHeight="1">
      <c r="A24" s="10">
        <v>46288</v>
      </c>
      <c r="B24" s="11" t="str">
        <f t="shared" si="0"/>
        <v>Miércoles</v>
      </c>
      <c r="C24" s="16" t="s">
        <v>18</v>
      </c>
      <c r="D24" s="17" t="s">
        <v>82</v>
      </c>
      <c r="E24" s="13">
        <v>1</v>
      </c>
      <c r="F24" s="18" t="s">
        <v>83</v>
      </c>
      <c r="G24" s="18" t="s">
        <v>84</v>
      </c>
      <c r="H24" s="18" t="s">
        <v>85</v>
      </c>
      <c r="I24" s="38" t="s">
        <v>23</v>
      </c>
    </row>
    <row r="25" spans="1:9" ht="61.95" customHeight="1">
      <c r="A25" s="31">
        <v>46289</v>
      </c>
      <c r="B25" s="32" t="str">
        <f t="shared" si="0"/>
        <v>Jueves</v>
      </c>
      <c r="C25" s="27" t="s">
        <v>24</v>
      </c>
      <c r="D25" s="28" t="s">
        <v>86</v>
      </c>
      <c r="E25" s="23">
        <v>4</v>
      </c>
      <c r="F25" s="28" t="s">
        <v>87</v>
      </c>
      <c r="G25" s="28" t="s">
        <v>88</v>
      </c>
      <c r="H25" s="28" t="s">
        <v>89</v>
      </c>
      <c r="I25" s="37" t="s">
        <v>23</v>
      </c>
    </row>
    <row r="26" spans="1:9" ht="61.95" customHeight="1">
      <c r="A26" s="29">
        <v>46289</v>
      </c>
      <c r="B26" s="30" t="str">
        <f t="shared" si="0"/>
        <v>Jueves</v>
      </c>
      <c r="C26" s="26" t="s">
        <v>29</v>
      </c>
      <c r="D26" s="12" t="s">
        <v>90</v>
      </c>
      <c r="E26" s="13">
        <v>4</v>
      </c>
      <c r="F26" s="12" t="s">
        <v>91</v>
      </c>
      <c r="G26" s="12" t="s">
        <v>92</v>
      </c>
      <c r="H26" s="12" t="s">
        <v>93</v>
      </c>
      <c r="I26" s="38" t="s">
        <v>23</v>
      </c>
    </row>
    <row r="27" spans="1:9" ht="61.95" customHeight="1">
      <c r="A27" s="29">
        <v>46289</v>
      </c>
      <c r="B27" s="30" t="str">
        <f t="shared" si="0"/>
        <v>Jueves</v>
      </c>
      <c r="C27" s="16" t="s">
        <v>18</v>
      </c>
      <c r="D27" s="17" t="s">
        <v>94</v>
      </c>
      <c r="E27" s="13">
        <v>2</v>
      </c>
      <c r="F27" s="18" t="s">
        <v>95</v>
      </c>
      <c r="G27" s="18" t="s">
        <v>96</v>
      </c>
      <c r="H27" s="18" t="s">
        <v>97</v>
      </c>
      <c r="I27" s="38" t="s">
        <v>23</v>
      </c>
    </row>
    <row r="28" spans="1:9" ht="61.95" customHeight="1">
      <c r="A28" s="35">
        <v>46290</v>
      </c>
      <c r="B28" s="36" t="str">
        <f t="shared" si="0"/>
        <v>Viernes</v>
      </c>
      <c r="C28" s="27" t="s">
        <v>24</v>
      </c>
      <c r="D28" s="28" t="s">
        <v>98</v>
      </c>
      <c r="E28" s="23">
        <v>3</v>
      </c>
      <c r="F28" s="28" t="s">
        <v>99</v>
      </c>
      <c r="G28" s="28" t="s">
        <v>100</v>
      </c>
      <c r="H28" s="28" t="s">
        <v>101</v>
      </c>
      <c r="I28" s="37" t="s">
        <v>23</v>
      </c>
    </row>
    <row r="29" spans="1:9" ht="61.95" customHeight="1">
      <c r="A29" s="33">
        <v>46290</v>
      </c>
      <c r="B29" s="34" t="str">
        <f t="shared" si="0"/>
        <v>Viernes</v>
      </c>
      <c r="C29" s="26" t="s">
        <v>29</v>
      </c>
      <c r="D29" s="12" t="s">
        <v>102</v>
      </c>
      <c r="E29" s="13">
        <v>3</v>
      </c>
      <c r="F29" s="12" t="s">
        <v>103</v>
      </c>
      <c r="G29" s="12" t="s">
        <v>104</v>
      </c>
      <c r="H29" s="12" t="s">
        <v>105</v>
      </c>
      <c r="I29" s="38" t="s">
        <v>23</v>
      </c>
    </row>
    <row r="30" spans="1:9" ht="61.95" customHeight="1">
      <c r="A30" s="33">
        <v>46290</v>
      </c>
      <c r="B30" s="34" t="str">
        <f t="shared" si="0"/>
        <v>Viernes</v>
      </c>
      <c r="C30" s="16" t="s">
        <v>18</v>
      </c>
      <c r="D30" s="17" t="s">
        <v>106</v>
      </c>
      <c r="E30" s="13">
        <v>2</v>
      </c>
      <c r="F30" s="18" t="s">
        <v>107</v>
      </c>
      <c r="G30" s="18" t="s">
        <v>108</v>
      </c>
      <c r="H30" s="18" t="s">
        <v>109</v>
      </c>
      <c r="I30" s="38" t="s">
        <v>23</v>
      </c>
    </row>
    <row r="31" spans="1:9" ht="10.050000000000001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22.95" customHeight="1">
      <c r="A32" s="4" t="s">
        <v>110</v>
      </c>
      <c r="B32" s="1"/>
      <c r="C32" s="1"/>
      <c r="D32" s="1"/>
      <c r="E32" s="1"/>
      <c r="F32" s="1"/>
      <c r="G32" s="1"/>
      <c r="H32" s="1"/>
      <c r="I32" s="1"/>
    </row>
    <row r="33" spans="1:9" ht="22.95" customHeight="1">
      <c r="A33" s="3" t="s">
        <v>111</v>
      </c>
      <c r="B33" s="3"/>
      <c r="C33" s="3"/>
      <c r="D33" s="3"/>
      <c r="E33" s="3"/>
      <c r="F33" s="3"/>
      <c r="G33" s="3"/>
      <c r="H33" s="3"/>
      <c r="I33" s="3"/>
    </row>
    <row r="34" spans="1:9" ht="22.95" customHeight="1">
      <c r="A34" s="3" t="s">
        <v>112</v>
      </c>
      <c r="B34" s="3"/>
      <c r="C34" s="3"/>
      <c r="D34" s="3"/>
      <c r="E34" s="3"/>
      <c r="F34" s="3"/>
      <c r="G34" s="3"/>
      <c r="H34" s="3"/>
      <c r="I34" s="3"/>
    </row>
    <row r="35" spans="1:9" ht="22.95" customHeight="1">
      <c r="A35" s="3" t="s">
        <v>113</v>
      </c>
      <c r="B35" s="3"/>
      <c r="C35" s="3"/>
      <c r="D35" s="3"/>
      <c r="E35" s="3"/>
      <c r="F35" s="3"/>
      <c r="G35" s="3"/>
      <c r="H35" s="3"/>
      <c r="I35" s="3"/>
    </row>
    <row r="36" spans="1:9" ht="22.95" customHeight="1">
      <c r="A36" s="3" t="s">
        <v>114</v>
      </c>
      <c r="B36" s="3"/>
      <c r="C36" s="3"/>
      <c r="D36" s="3"/>
      <c r="E36" s="3"/>
      <c r="F36" s="3"/>
      <c r="G36" s="3"/>
      <c r="H36" s="3"/>
      <c r="I36" s="3"/>
    </row>
    <row r="37" spans="1:9" ht="22.95" customHeight="1">
      <c r="A37" s="3" t="s">
        <v>115</v>
      </c>
      <c r="B37" s="3"/>
      <c r="C37" s="3"/>
      <c r="D37" s="3"/>
      <c r="E37" s="3"/>
      <c r="F37" s="3"/>
      <c r="G37" s="3"/>
      <c r="H37" s="3"/>
      <c r="I37" s="3"/>
    </row>
  </sheetData>
  <conditionalFormatting sqref="I9:I30">
    <cfRule type="expression" dxfId="2" priority="1">
      <formula>$I9="Hecho"</formula>
    </cfRule>
    <cfRule type="expression" dxfId="1" priority="2">
      <formula>$I9="En curso"</formula>
    </cfRule>
    <cfRule type="expression" dxfId="0" priority="3">
      <formula>$I9="Bloqueado"</formula>
    </cfRule>
  </conditionalFormatting>
  <dataValidations count="1">
    <dataValidation type="list" sqref="I9:I30" xr:uid="{00000000-0002-0000-0000-000000000000}">
      <formula1>"Pendiente,En curso,Bloqueado,Hecho"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LUPA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Erwin Sebasti?n Ar?valo Toc</cp:lastModifiedBy>
  <dcterms:modified xsi:type="dcterms:W3CDTF">2026-09-16T03:15:49Z</dcterms:modified>
</cp:coreProperties>
</file>